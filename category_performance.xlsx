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<sst xmlns="http://schemas.openxmlformats.org/spreadsheetml/2006/main" count="78" uniqueCount="20">
  <si>
    <t>category</t>
  </si>
  <si>
    <t>month</t>
  </si>
  <si>
    <t>order_count</t>
  </si>
  <si>
    <t>total_revenue</t>
  </si>
  <si>
    <t>avg_revenue</t>
  </si>
  <si>
    <t>Bakery</t>
  </si>
  <si>
    <t>Dairy &amp; Eggs</t>
  </si>
  <si>
    <t>target_revenue_inr</t>
  </si>
  <si>
    <t>Fruits &amp; Vegetables</t>
  </si>
  <si>
    <t>variance</t>
  </si>
  <si>
    <t>percentage_variance</t>
  </si>
  <si>
    <t>status_tag</t>
  </si>
  <si>
    <t>Snacks &amp; Beverages</t>
  </si>
  <si>
    <t>matches_sql</t>
  </si>
  <si>
    <t>Personal Care</t>
  </si>
  <si>
    <t>Household Essentials</t>
  </si>
  <si>
    <t>SUM of total_revenue</t>
  </si>
  <si>
    <t>SUM of order_count</t>
  </si>
  <si>
    <t>Yes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</si>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</sst>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6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6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6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6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6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6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8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15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15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15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15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15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15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14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14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14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14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14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14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12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12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12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12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12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12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0"/>
    <col customWidth="1" min="2" max="3" width="19.7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.13"/>
    <col customWidth="1" min="3" max="3" width="17.25"/>
    <col customWidth="1" min="5" max="5" width="19.5"/>
    <col customWidth="1" min="6" max="6" width="19.13"/>
  </cols>
  <sheetData>
    <row r="1">
      <c r="A1" s="1" t="s">
        <v>0</v>
      </c>
      <c r="B1" s="1" t="s">
        <v>3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13</v>
      </c>
    </row>
    <row r="2">
      <c r="A2" s="1" t="s">
        <v>8</v>
      </c>
      <c r="B2" s="1">
        <f>VLOOKUP(A2, Pivot!A:B, 2, FALSE)</f>
        <v>9790</v>
      </c>
      <c r="C2" s="3">
        <f t="array" ref="C2">_xlfn.XLOOKUP(A2, 'Category Targets'!A:A, 'Category Targets'!B:B, "Not Found")</f>
        <v>12000</v>
      </c>
      <c r="D2" s="3">
        <f t="shared" ref="D2:D7" si="1">C2-B2</f>
        <v>2210</v>
      </c>
      <c r="E2" s="3">
        <f t="shared" ref="E2:E7" si="2">((B2-C2)/C2)*100</f>
        <v>-18.41666667</v>
      </c>
      <c r="F2" s="3" t="str">
        <f t="shared" ref="F2:F7" si="3">IF(B2&gt;=C2, "Above Target", IF(((C2-B2)/C2)*100&lt;=15, "Below Target - Watch", "Below Target - Critical"))</f>
        <v>Below Target - Critical</v>
      </c>
      <c r="G2" s="1" t="s">
        <v>18</v>
      </c>
    </row>
    <row r="3">
      <c r="A3" s="1" t="s">
        <v>6</v>
      </c>
      <c r="B3" s="1">
        <f>VLOOKUP(A3, Pivot!A:B, 2, FALSE)</f>
        <v>14090</v>
      </c>
      <c r="C3" s="3">
        <f t="array" ref="C3">_xlfn.XLOOKUP(A3, 'Category Targets'!A:A, 'Category Targets'!B:B, "Not Found")</f>
        <v>16500</v>
      </c>
      <c r="D3" s="3">
        <f t="shared" si="1"/>
        <v>2410</v>
      </c>
      <c r="E3" s="3">
        <f t="shared" si="2"/>
        <v>-14.60606061</v>
      </c>
      <c r="F3" s="3" t="str">
        <f t="shared" si="3"/>
        <v>Below Target - Watch</v>
      </c>
      <c r="G3" s="1" t="s">
        <v>18</v>
      </c>
    </row>
    <row r="4">
      <c r="A4" s="1" t="s">
        <v>12</v>
      </c>
      <c r="B4" s="1">
        <f>VLOOKUP(A4, Pivot!A:B, 2, FALSE)</f>
        <v>10895</v>
      </c>
      <c r="C4" s="3">
        <f t="array" ref="C4">_xlfn.XLOOKUP(A4, 'Category Targets'!A:A, 'Category Targets'!B:B, "Not Found")</f>
        <v>13000</v>
      </c>
      <c r="D4" s="3">
        <f t="shared" si="1"/>
        <v>2105</v>
      </c>
      <c r="E4" s="3">
        <f t="shared" si="2"/>
        <v>-16.19230769</v>
      </c>
      <c r="F4" s="3" t="str">
        <f t="shared" si="3"/>
        <v>Below Target - Critical</v>
      </c>
      <c r="G4" s="1" t="s">
        <v>18</v>
      </c>
    </row>
    <row r="5">
      <c r="A5" s="1" t="s">
        <v>14</v>
      </c>
      <c r="B5" s="1">
        <f>VLOOKUP(A5, Pivot!A:B, 2, FALSE)</f>
        <v>16382</v>
      </c>
      <c r="C5" s="3">
        <f t="array" ref="C5">_xlfn.XLOOKUP(A5, 'Category Targets'!A:A, 'Category Targets'!B:B, "Not Found")</f>
        <v>15500</v>
      </c>
      <c r="D5" s="3">
        <f t="shared" si="1"/>
        <v>-882</v>
      </c>
      <c r="E5" s="3">
        <f t="shared" si="2"/>
        <v>5.690322581</v>
      </c>
      <c r="F5" s="3" t="str">
        <f t="shared" si="3"/>
        <v>Above Target</v>
      </c>
      <c r="G5" s="1" t="s">
        <v>18</v>
      </c>
    </row>
    <row r="6">
      <c r="A6" s="1" t="s">
        <v>15</v>
      </c>
      <c r="B6" s="1">
        <f>VLOOKUP(A6, Pivot!A:B, 2, FALSE)</f>
        <v>21715</v>
      </c>
      <c r="C6" s="3">
        <f t="array" ref="C6">_xlfn.XLOOKUP(A6, 'Category Targets'!A:A, 'Category Targets'!B:B, "Not Found")</f>
        <v>17000</v>
      </c>
      <c r="D6" s="3">
        <f t="shared" si="1"/>
        <v>-4715</v>
      </c>
      <c r="E6" s="3">
        <f t="shared" si="2"/>
        <v>27.73529412</v>
      </c>
      <c r="F6" s="3" t="str">
        <f t="shared" si="3"/>
        <v>Above Target</v>
      </c>
      <c r="G6" s="1" t="s">
        <v>18</v>
      </c>
    </row>
    <row r="7">
      <c r="A7" s="1" t="s">
        <v>5</v>
      </c>
      <c r="B7" s="1">
        <f>VLOOKUP(A7, Pivot!A:B, 2, FALSE)</f>
        <v>15410</v>
      </c>
      <c r="C7" s="3">
        <f t="array" ref="C7">_xlfn.XLOOKUP(A7, 'Category Targets'!A:A, 'Category Targets'!B:B, "Not Found")</f>
        <v>12000</v>
      </c>
      <c r="D7" s="3">
        <f t="shared" si="1"/>
        <v>-3410</v>
      </c>
      <c r="E7" s="3">
        <f t="shared" si="2"/>
        <v>28.41666667</v>
      </c>
      <c r="F7" s="3" t="str">
        <f t="shared" si="3"/>
        <v>Above Target</v>
      </c>
      <c r="G7" s="1" t="s">
        <v>18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25"/>
  </cols>
  <sheetData>
    <row r="1">
      <c r="A1" s="1" t="s">
        <v>0</v>
      </c>
      <c r="B1" s="1" t="s">
        <v>7</v>
      </c>
    </row>
    <row r="2">
      <c r="A2" s="1" t="s">
        <v>8</v>
      </c>
      <c r="B2" s="1">
        <v>12000.0</v>
      </c>
    </row>
    <row r="3">
      <c r="A3" s="1" t="s">
        <v>6</v>
      </c>
      <c r="B3" s="1">
        <v>16500.0</v>
      </c>
    </row>
    <row r="4">
      <c r="A4" s="1" t="s">
        <v>12</v>
      </c>
      <c r="B4" s="1">
        <v>13000.0</v>
      </c>
    </row>
    <row r="5">
      <c r="A5" s="1" t="s">
        <v>14</v>
      </c>
      <c r="B5" s="1">
        <v>15500.0</v>
      </c>
    </row>
    <row r="6">
      <c r="A6" s="1" t="s">
        <v>15</v>
      </c>
      <c r="B6" s="1">
        <v>17000.0</v>
      </c>
    </row>
    <row r="7">
      <c r="A7" s="1" t="s">
        <v>5</v>
      </c>
      <c r="B7" s="1">
        <v>12000.0</v>
      </c>
    </row>
  </sheetData>
  <drawing r:id="rId1"/>
</worksheet>
</file>